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ton365-my.sharepoint.com/personal/vicky_tseng_accton_com/Documents/Python/code/Excel_Vlookup_Python/resources/"/>
    </mc:Choice>
  </mc:AlternateContent>
  <xr:revisionPtr revIDLastSave="1" documentId="11_28973FCB56869CC5CF7F1FAF523D0C4532FEDE6E" xr6:coauthVersionLast="47" xr6:coauthVersionMax="47" xr10:uidLastSave="{C1AB8E85-831D-40FB-8ADD-628B1C7FF7AB}"/>
  <workbookProtection lockStructure="1"/>
  <bookViews>
    <workbookView xWindow="-110" yWindow="-110" windowWidth="19420" windowHeight="11500" xr2:uid="{00000000-000D-0000-FFFF-FFFF00000000}"/>
  </bookViews>
  <sheets>
    <sheet name="general" sheetId="1" r:id="rId1"/>
    <sheet name="Raw Material" sheetId="2" r:id="rId2"/>
    <sheet name="Manufacturing" sheetId="3" r:id="rId3"/>
    <sheet name="Distribution" sheetId="4" r:id="rId4"/>
    <sheet name="Usage" sheetId="5" r:id="rId5"/>
    <sheet name="Recycling" sheetId="6" r:id="rId6"/>
  </sheets>
  <definedNames>
    <definedName name="_Toc118790987" localSheetId="0">general!#REF!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  <c r="Y5" i="1"/>
  <c r="Y6" i="1"/>
  <c r="X6" i="1"/>
  <c r="X5" i="1"/>
  <c r="X4" i="1"/>
  <c r="X3" i="1"/>
  <c r="X2" i="1"/>
  <c r="W6" i="1"/>
  <c r="W5" i="1"/>
  <c r="W4" i="1"/>
  <c r="W3" i="1"/>
  <c r="W2" i="1"/>
  <c r="V6" i="1"/>
  <c r="V5" i="1"/>
  <c r="V4" i="1"/>
  <c r="V3" i="1"/>
  <c r="V2" i="1"/>
  <c r="U6" i="1"/>
  <c r="U5" i="1"/>
  <c r="U4" i="1"/>
  <c r="U3" i="1"/>
  <c r="Y3" i="1" s="1"/>
  <c r="U2" i="1"/>
  <c r="Y2" i="1" s="1"/>
  <c r="B6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B24" i="1" s="1"/>
  <c r="Z2" i="1" s="1"/>
  <c r="F7" i="1"/>
  <c r="B15" i="1" s="1"/>
  <c r="E7" i="1"/>
  <c r="B14" i="1" s="1"/>
  <c r="D7" i="1"/>
  <c r="B13" i="1" s="1"/>
  <c r="BG3" i="1" s="1"/>
  <c r="C7" i="1"/>
  <c r="B12" i="1" s="1"/>
  <c r="BF3" i="1" s="1"/>
  <c r="B7" i="1"/>
  <c r="AH3" i="1" s="1"/>
  <c r="F6" i="1"/>
  <c r="E6" i="1"/>
  <c r="D6" i="1"/>
  <c r="C6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G21" i="1" l="1"/>
  <c r="BO3" i="1" s="1"/>
  <c r="AI3" i="1"/>
  <c r="G22" i="1"/>
  <c r="BP3" i="1" s="1"/>
  <c r="G23" i="1"/>
  <c r="BQ3" i="1" s="1"/>
  <c r="AJ3" i="1"/>
  <c r="B11" i="1"/>
  <c r="BE3" i="1" s="1"/>
  <c r="C24" i="1"/>
  <c r="Z3" i="1" s="1"/>
  <c r="AF3" i="1"/>
  <c r="D24" i="1"/>
  <c r="Z4" i="1" s="1"/>
  <c r="AG3" i="1"/>
  <c r="E24" i="1"/>
  <c r="Z5" i="1" s="1"/>
  <c r="F24" i="1"/>
  <c r="Z6" i="1" s="1"/>
  <c r="BI3" i="1"/>
  <c r="BH3" i="1"/>
  <c r="G20" i="1"/>
  <c r="B16" i="1" l="1"/>
  <c r="C13" i="1" s="1"/>
  <c r="BL3" i="1" s="1"/>
  <c r="G24" i="1"/>
  <c r="C15" i="1"/>
  <c r="BN3" i="1" s="1"/>
  <c r="C14" i="1" l="1"/>
  <c r="BM3" i="1" s="1"/>
  <c r="C16" i="1"/>
  <c r="BR3" i="1"/>
  <c r="C11" i="1"/>
  <c r="BJ3" i="1" s="1"/>
  <c r="C12" i="1"/>
  <c r="BK3" i="1" s="1"/>
  <c r="AA3" i="1"/>
  <c r="AK3" i="1" s="1"/>
  <c r="AC3" i="1"/>
  <c r="AM3" i="1" s="1"/>
  <c r="AE3" i="1"/>
  <c r="AO3" i="1" s="1"/>
  <c r="AB3" i="1"/>
  <c r="AL3" i="1" s="1"/>
  <c r="AD3" i="1"/>
  <c r="AN3" i="1" s="1"/>
</calcChain>
</file>

<file path=xl/sharedStrings.xml><?xml version="1.0" encoding="utf-8"?>
<sst xmlns="http://schemas.openxmlformats.org/spreadsheetml/2006/main" count="101" uniqueCount="72">
  <si>
    <t>階段
能源類別</t>
  </si>
  <si>
    <t>Raw Material</t>
  </si>
  <si>
    <t>Manufacturing</t>
  </si>
  <si>
    <t>Distribution</t>
  </si>
  <si>
    <t>Usage</t>
  </si>
  <si>
    <t>Recycling</t>
  </si>
  <si>
    <t>排放源類別</t>
  </si>
  <si>
    <t>化石溫室氣體</t>
  </si>
  <si>
    <t>生物溫室氣體</t>
  </si>
  <si>
    <t>直接土地利用溫室氣體(kg CO2e)</t>
  </si>
  <si>
    <t>總排放量</t>
  </si>
  <si>
    <t>總碳排百分比</t>
  </si>
  <si>
    <t>Carbon_percentage_1</t>
  </si>
  <si>
    <t>Carbon_percentage_2</t>
  </si>
  <si>
    <t>Carbon_percentage_3</t>
  </si>
  <si>
    <t>Carbon_percentage_4</t>
  </si>
  <si>
    <t>Carbon_percentage_5</t>
  </si>
  <si>
    <t>Carbon_value_1</t>
  </si>
  <si>
    <t>Carbon_value_2</t>
  </si>
  <si>
    <t>Carbon_value_3</t>
  </si>
  <si>
    <t>Carbon_value_4</t>
  </si>
  <si>
    <t>Carbon_value_5</t>
  </si>
  <si>
    <t>Carbon_stage_1</t>
  </si>
  <si>
    <t>Carbon_stage_2</t>
  </si>
  <si>
    <t>Carbon_stage_3</t>
  </si>
  <si>
    <t>Carbon_stage_4</t>
  </si>
  <si>
    <t>Carbon_stage_5</t>
  </si>
  <si>
    <t>Raw_1</t>
  </si>
  <si>
    <t>Raw_2</t>
  </si>
  <si>
    <t>Raw_3</t>
  </si>
  <si>
    <t>Man_1</t>
  </si>
  <si>
    <t>Man_2</t>
  </si>
  <si>
    <t>Man_3</t>
  </si>
  <si>
    <t>Transport_1</t>
  </si>
  <si>
    <t>Transport_2</t>
  </si>
  <si>
    <t>Transport_3</t>
  </si>
  <si>
    <t>Uasge_1</t>
  </si>
  <si>
    <t>Uasge_2</t>
  </si>
  <si>
    <t>Uasge_3</t>
  </si>
  <si>
    <t>Re_1</t>
  </si>
  <si>
    <t>Re_2</t>
  </si>
  <si>
    <t>Re_3</t>
  </si>
  <si>
    <t>Raw</t>
  </si>
  <si>
    <t>Man</t>
  </si>
  <si>
    <t>Transport</t>
  </si>
  <si>
    <t>Uasge</t>
  </si>
  <si>
    <t>Re</t>
  </si>
  <si>
    <t>Raw_percentage</t>
  </si>
  <si>
    <t>Man_percentage</t>
  </si>
  <si>
    <t>Transport_percentage</t>
  </si>
  <si>
    <t>Uasge_percentage</t>
  </si>
  <si>
    <t>Re_percentage</t>
  </si>
  <si>
    <t>fossil</t>
  </si>
  <si>
    <t>biogenic</t>
  </si>
  <si>
    <t>land_transformation</t>
  </si>
  <si>
    <t>Carbon_total</t>
  </si>
  <si>
    <t>GWP100 - unspecified</t>
  </si>
  <si>
    <t>GWP100 - fossil</t>
  </si>
  <si>
    <t>原料階段(含運輸)</t>
  </si>
  <si>
    <t>GWP100 - biogenic</t>
  </si>
  <si>
    <t>製程階段(含運輸)</t>
  </si>
  <si>
    <t>GWP100 - land transformation</t>
  </si>
  <si>
    <t>運輸階段</t>
  </si>
  <si>
    <t>使用階段</t>
  </si>
  <si>
    <t>廢棄階段</t>
  </si>
  <si>
    <t>項目(類別)</t>
  </si>
  <si>
    <t>排放量(kg CO2e)</t>
  </si>
  <si>
    <t>百分比</t>
  </si>
  <si>
    <t>total</t>
  </si>
  <si>
    <t>項目</t>
  </si>
  <si>
    <t>kg CO2e</t>
  </si>
  <si>
    <t>未歸類溫室氣體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</si>
</sst>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"/>
    <numFmt numFmtId="177" formatCode="0.00_);[Red]\(0.00\)"/>
    <numFmt numFmtId="178" formatCode="0.0000_);[Red]\(0.0000\)"/>
    <numFmt numFmtId="179" formatCode="0.0000"/>
  </numFmts>
  <fonts count="1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標楷體"/>
      <family val="4"/>
      <charset val="136"/>
    </font>
    <font>
      <sz val="13"/>
      <color theme="1"/>
      <name val="Times New Roman"/>
      <family val="1"/>
    </font>
    <font>
      <sz val="13"/>
      <color theme="1"/>
      <name val="標楷體"/>
      <family val="4"/>
      <charset val="136"/>
    </font>
    <font>
      <sz val="13"/>
      <color theme="1"/>
      <name val="Times New Roman"/>
      <family val="1"/>
      <charset val="136"/>
    </font>
    <font>
      <sz val="12"/>
      <color theme="0"/>
      <name val="標楷體"/>
      <family val="4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Times New Roman"/>
      <family val="1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</font>
    <font>
      <b/>
      <sz val="11"/>
      <color theme="1"/>
      <name val="標楷體"/>
      <family val="4"/>
      <charset val="136"/>
    </font>
    <font>
      <sz val="12"/>
      <color rgb="FF000000"/>
      <name val="Times New Roman"/>
      <family val="1"/>
    </font>
    <font>
      <b/>
      <sz val="14"/>
      <color rgb="FFFF0000"/>
      <name val="新細明體"/>
      <family val="1"/>
      <charset val="136"/>
      <scheme val="minor"/>
    </font>
    <font>
      <b/>
      <sz val="14"/>
      <color rgb="FFFF0000"/>
      <name val="新細明體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double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9" fontId="12" fillId="0" borderId="0">
      <alignment vertical="center"/>
    </xf>
  </cellStyleXfs>
  <cellXfs count="55"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0" fontId="0" fillId="0" borderId="0" xfId="0" applyNumberFormat="1" applyAlignment="1">
      <alignment vertical="center"/>
    </xf>
    <xf numFmtId="10" fontId="3" fillId="0" borderId="0" xfId="0" applyNumberFormat="1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9" fontId="0" fillId="0" borderId="0" xfId="1" applyFont="1" applyAlignme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right" vertical="center" wrapText="1"/>
    </xf>
    <xf numFmtId="0" fontId="14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10" fontId="15" fillId="0" borderId="1" xfId="0" applyNumberFormat="1" applyFont="1" applyBorder="1" applyAlignment="1">
      <alignment horizontal="justify" vertical="center" wrapText="1"/>
    </xf>
    <xf numFmtId="0" fontId="14" fillId="0" borderId="13" xfId="0" applyFont="1" applyBorder="1" applyAlignment="1">
      <alignment vertical="center" wrapText="1"/>
    </xf>
    <xf numFmtId="10" fontId="0" fillId="0" borderId="0" xfId="1" applyNumberFormat="1" applyFont="1" applyAlignment="1">
      <alignment vertical="center"/>
    </xf>
    <xf numFmtId="0" fontId="17" fillId="4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9" fontId="0" fillId="0" borderId="0" xfId="0" applyNumberFormat="1" applyAlignment="1">
      <alignment vertical="center"/>
    </xf>
    <xf numFmtId="0" fontId="0" fillId="0" borderId="0" xfId="0" applyAlignment="1"/>
    <xf numFmtId="179" fontId="3" fillId="0" borderId="1" xfId="0" applyNumberFormat="1" applyFont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justify" vertical="center" wrapText="1"/>
    </xf>
    <xf numFmtId="178" fontId="0" fillId="0" borderId="0" xfId="1" applyNumberFormat="1" applyFont="1" applyAlignment="1">
      <alignment vertical="center"/>
    </xf>
    <xf numFmtId="176" fontId="0" fillId="0" borderId="0" xfId="0" applyNumberFormat="1" applyAlignment="1">
      <alignment vertical="center"/>
    </xf>
    <xf numFmtId="179" fontId="3" fillId="0" borderId="3" xfId="0" applyNumberFormat="1" applyFont="1" applyBorder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6" fontId="10" fillId="0" borderId="0" xfId="0" applyNumberFormat="1" applyFont="1" applyAlignment="1">
      <alignment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6" fontId="0" fillId="0" borderId="8" xfId="0" applyNumberFormat="1" applyBorder="1" applyAlignment="1">
      <alignment horizontal="center" vertical="center" wrapText="1"/>
    </xf>
  </cellXfs>
  <cellStyles count="2">
    <cellStyle name="一般" xfId="0" builtinId="0"/>
    <cellStyle name="百分比" xfId="1" builtinId="5"/>
  </cellStyles>
  <dxfs count="53">
    <dxf>
      <numFmt numFmtId="13" formatCode="0%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3"/>
        <color theme="1"/>
        <name val="Times New Roman"/>
        <family val="1"/>
      </font>
      <alignment horizontal="center" vertical="center"/>
      <border>
        <left/>
        <right/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Times New Roman"/>
        <family val="1"/>
      </font>
      <alignment horizontal="center" vertical="center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Times New Roman"/>
        <family val="1"/>
      </font>
      <alignment horizontal="center" vertical="center"/>
      <border>
        <left/>
        <right/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Times New Roman"/>
        <family val="1"/>
      </font>
      <alignment horizontal="center" vertical="center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Times New Roman"/>
        <family val="1"/>
      </font>
      <alignment horizontal="center" vertical="center"/>
      <border>
        <left/>
        <right/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Times New Roman"/>
        <family val="1"/>
      </font>
      <alignment horizontal="center" vertical="center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Times New Roman"/>
        <family val="1"/>
      </font>
      <alignment horizontal="center" vertical="center"/>
      <border>
        <left/>
        <right/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Times New Roman"/>
        <family val="1"/>
      </font>
      <alignment horizontal="center" vertical="center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Times New Roman"/>
        <family val="1"/>
      </font>
      <alignment horizontal="center" vertical="center"/>
      <border>
        <left/>
        <right/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Times New Roman"/>
        <family val="1"/>
      </font>
      <alignment horizontal="center" vertical="center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14" formatCode="0.00%"/>
      <alignment horizontal="center" vertical="center" wrapText="1"/>
      <border>
        <left/>
        <right/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176" formatCode="0.0000_ "/>
      <alignment horizontal="center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標楷體"/>
        <family val="4"/>
        <charset val="136"/>
      </font>
      <alignment horizontal="center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0"/>
        <name val="標楷體"/>
        <family val="4"/>
        <charset val="136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176" formatCode="0.0000_ "/>
      <alignment horizontal="center" vertical="center" wrapText="1"/>
      <border>
        <left/>
        <right/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176" formatCode="0.0000_ "/>
      <alignment horizontal="center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176" formatCode="0.0000_ "/>
      <alignment horizontal="center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176" formatCode="0.0000_ "/>
      <alignment horizontal="center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176" formatCode="0.0000_ "/>
      <alignment horizontal="center" vertical="center" wrapText="1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/>
      <border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general!$B$1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general!$A$2:$A$5</c:f>
              <c:strCache>
                <c:ptCount val="4"/>
                <c:pt idx="0">
                  <c:v>GWP100 - unspecified</c:v>
                </c:pt>
                <c:pt idx="1">
                  <c:v>GWP100 - fossil</c:v>
                </c:pt>
                <c:pt idx="2">
                  <c:v>GWP100 - biogenic</c:v>
                </c:pt>
                <c:pt idx="3">
                  <c:v>GWP100 - land transformation</c:v>
                </c:pt>
              </c:strCache>
            </c:strRef>
          </c:cat>
          <c:val>
            <c:numRef>
              <c:f>general!$B$2:$B$5</c:f>
              <c:numCache>
                <c:formatCode>0.0000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7024-41BA-8FA4-61A14FB2704A}"/>
            </c:ext>
          </c:extLst>
        </c:ser>
        <c:ser>
          <c:idx val="1"/>
          <c:order val="1"/>
          <c:tx>
            <c:strRef>
              <c:f>general!$C$1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general!$A$2:$A$5</c:f>
              <c:strCache>
                <c:ptCount val="4"/>
                <c:pt idx="0">
                  <c:v>GWP100 - unspecified</c:v>
                </c:pt>
                <c:pt idx="1">
                  <c:v>GWP100 - fossil</c:v>
                </c:pt>
                <c:pt idx="2">
                  <c:v>GWP100 - biogenic</c:v>
                </c:pt>
                <c:pt idx="3">
                  <c:v>GWP100 - land transformation</c:v>
                </c:pt>
              </c:strCache>
            </c:strRef>
          </c:cat>
          <c:val>
            <c:numRef>
              <c:f>general!$C$2:$C$5</c:f>
              <c:numCache>
                <c:formatCode>0.0000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7024-41BA-8FA4-61A14FB2704A}"/>
            </c:ext>
          </c:extLst>
        </c:ser>
        <c:ser>
          <c:idx val="2"/>
          <c:order val="2"/>
          <c:tx>
            <c:strRef>
              <c:f>general!$D$1</c:f>
              <c:strCache>
                <c:ptCount val="1"/>
                <c:pt idx="0">
                  <c:v>Distribution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general!$A$2:$A$5</c:f>
              <c:strCache>
                <c:ptCount val="4"/>
                <c:pt idx="0">
                  <c:v>GWP100 - unspecified</c:v>
                </c:pt>
                <c:pt idx="1">
                  <c:v>GWP100 - fossil</c:v>
                </c:pt>
                <c:pt idx="2">
                  <c:v>GWP100 - biogenic</c:v>
                </c:pt>
                <c:pt idx="3">
                  <c:v>GWP100 - land transformation</c:v>
                </c:pt>
              </c:strCache>
            </c:strRef>
          </c:cat>
          <c:val>
            <c:numRef>
              <c:f>general!$D$2:$D$5</c:f>
              <c:numCache>
                <c:formatCode>0.0000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7024-41BA-8FA4-61A14FB2704A}"/>
            </c:ext>
          </c:extLst>
        </c:ser>
        <c:ser>
          <c:idx val="3"/>
          <c:order val="3"/>
          <c:tx>
            <c:strRef>
              <c:f>general!$E$1</c:f>
              <c:strCache>
                <c:ptCount val="1"/>
                <c:pt idx="0">
                  <c:v>Usage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general!$A$2:$A$5</c:f>
              <c:strCache>
                <c:ptCount val="4"/>
                <c:pt idx="0">
                  <c:v>GWP100 - unspecified</c:v>
                </c:pt>
                <c:pt idx="1">
                  <c:v>GWP100 - fossil</c:v>
                </c:pt>
                <c:pt idx="2">
                  <c:v>GWP100 - biogenic</c:v>
                </c:pt>
                <c:pt idx="3">
                  <c:v>GWP100 - land transformation</c:v>
                </c:pt>
              </c:strCache>
            </c:strRef>
          </c:cat>
          <c:val>
            <c:numRef>
              <c:f>general!$E$2:$E$5</c:f>
              <c:numCache>
                <c:formatCode>0.0000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7024-41BA-8FA4-61A14FB2704A}"/>
            </c:ext>
          </c:extLst>
        </c:ser>
        <c:ser>
          <c:idx val="4"/>
          <c:order val="4"/>
          <c:tx>
            <c:strRef>
              <c:f>general!$F$1</c:f>
              <c:strCache>
                <c:ptCount val="1"/>
                <c:pt idx="0">
                  <c:v>Recycling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general!$A$2:$A$5</c:f>
              <c:strCache>
                <c:ptCount val="4"/>
                <c:pt idx="0">
                  <c:v>GWP100 - unspecified</c:v>
                </c:pt>
                <c:pt idx="1">
                  <c:v>GWP100 - fossil</c:v>
                </c:pt>
                <c:pt idx="2">
                  <c:v>GWP100 - biogenic</c:v>
                </c:pt>
                <c:pt idx="3">
                  <c:v>GWP100 - land transformation</c:v>
                </c:pt>
              </c:strCache>
            </c:strRef>
          </c:cat>
          <c:val>
            <c:numRef>
              <c:f>general!$F$2:$F$5</c:f>
              <c:numCache>
                <c:formatCode>0.0000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7024-41BA-8FA4-61A14FB27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671208"/>
        <c:axId val="522671928"/>
      </c:barChart>
      <c:catAx>
        <c:axId val="522671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671928"/>
        <c:crosses val="autoZero"/>
        <c:auto val="1"/>
        <c:lblAlgn val="ctr"/>
        <c:lblOffset val="100"/>
        <c:noMultiLvlLbl val="0"/>
      </c:catAx>
      <c:valAx>
        <c:axId val="52267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67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general!$B$1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general!$A$21:$A$23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general!$B$20:$B$24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7-4041-8788-E3C526E379CB}"/>
            </c:ext>
          </c:extLst>
        </c:ser>
        <c:ser>
          <c:idx val="1"/>
          <c:order val="1"/>
          <c:tx>
            <c:strRef>
              <c:f>general!$C$1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general!$A$21:$A$23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general!$C$20:$C$24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C7-4041-8788-E3C526E379CB}"/>
            </c:ext>
          </c:extLst>
        </c:ser>
        <c:ser>
          <c:idx val="2"/>
          <c:order val="2"/>
          <c:tx>
            <c:strRef>
              <c:f>general!$D$1</c:f>
              <c:strCache>
                <c:ptCount val="1"/>
                <c:pt idx="0">
                  <c:v>Distribution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general!$A$21:$A$23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general!$D$20:$D$24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C7-4041-8788-E3C526E379CB}"/>
            </c:ext>
          </c:extLst>
        </c:ser>
        <c:ser>
          <c:idx val="3"/>
          <c:order val="3"/>
          <c:tx>
            <c:strRef>
              <c:f>general!$E$1</c:f>
              <c:strCache>
                <c:ptCount val="1"/>
                <c:pt idx="0">
                  <c:v>Usage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general!$A$21:$A$23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general!$E$20:$E$24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C7-4041-8788-E3C526E379CB}"/>
            </c:ext>
          </c:extLst>
        </c:ser>
        <c:ser>
          <c:idx val="4"/>
          <c:order val="4"/>
          <c:tx>
            <c:strRef>
              <c:f>general!$F$1</c:f>
              <c:strCache>
                <c:ptCount val="1"/>
                <c:pt idx="0">
                  <c:v>Recycling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general!$A$21:$A$23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general!$F$20:$F$24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C7-4041-8788-E3C526E379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22671208"/>
        <c:axId val="522671928"/>
      </c:barChart>
      <c:catAx>
        <c:axId val="522671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671928"/>
        <c:crosses val="autoZero"/>
        <c:auto val="1"/>
        <c:lblAlgn val="ctr"/>
        <c:lblOffset val="100"/>
        <c:noMultiLvlLbl val="0"/>
      </c:catAx>
      <c:valAx>
        <c:axId val="5226719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67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general!$A$11</c:f>
              <c:strCache>
                <c:ptCount val="1"/>
                <c:pt idx="0">
                  <c:v>原料階段(含運輸)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general!$A$16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general!$C$11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9-4962-B97E-51FBE13ED8B1}"/>
            </c:ext>
          </c:extLst>
        </c:ser>
        <c:ser>
          <c:idx val="1"/>
          <c:order val="1"/>
          <c:tx>
            <c:strRef>
              <c:f>general!$A$12</c:f>
              <c:strCache>
                <c:ptCount val="1"/>
                <c:pt idx="0">
                  <c:v>製程階段(含運輸)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general!$A$16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general!$C$12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9-4962-B97E-51FBE13ED8B1}"/>
            </c:ext>
          </c:extLst>
        </c:ser>
        <c:ser>
          <c:idx val="2"/>
          <c:order val="2"/>
          <c:tx>
            <c:strRef>
              <c:f>general!$A$13</c:f>
              <c:strCache>
                <c:ptCount val="1"/>
                <c:pt idx="0">
                  <c:v>運輸階段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general!$A$16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general!$C$13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9-4962-B97E-51FBE13ED8B1}"/>
            </c:ext>
          </c:extLst>
        </c:ser>
        <c:ser>
          <c:idx val="3"/>
          <c:order val="3"/>
          <c:tx>
            <c:strRef>
              <c:f>general!$A$14</c:f>
              <c:strCache>
                <c:ptCount val="1"/>
                <c:pt idx="0">
                  <c:v>使用階段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general!$A$16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general!$C$14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39-4962-B97E-51FBE13ED8B1}"/>
            </c:ext>
          </c:extLst>
        </c:ser>
        <c:ser>
          <c:idx val="4"/>
          <c:order val="4"/>
          <c:tx>
            <c:strRef>
              <c:f>general!$A$15</c:f>
              <c:strCache>
                <c:ptCount val="1"/>
                <c:pt idx="0">
                  <c:v>廢棄階段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general!$A$16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general!$C$15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39-4962-B97E-51FBE13ED8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0"/>
        <c:overlap val="-20"/>
        <c:axId val="522671208"/>
        <c:axId val="522671928"/>
      </c:barChart>
      <c:catAx>
        <c:axId val="522671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671928"/>
        <c:crosses val="autoZero"/>
        <c:auto val="1"/>
        <c:lblAlgn val="ctr"/>
        <c:lblOffset val="100"/>
        <c:noMultiLvlLbl val="0"/>
      </c:catAx>
      <c:valAx>
        <c:axId val="5226719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67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Raw Material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Material'!$B$1</c:f>
              <c:strCache>
                <c:ptCount val="1"/>
                <c:pt idx="0">
                  <c:v>kg CO2e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'Raw Material'!$A$2:$A$12</c:f>
              <c:numCache>
                <c:formatCode>General</c:formatCode>
                <c:ptCount val="11"/>
              </c:numCache>
            </c:numRef>
          </c:cat>
          <c:val>
            <c:numRef>
              <c:f>'Raw Material'!$B$2:$B$12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5D8E-41DC-93A3-16EAEA846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576640"/>
        <c:axId val="749577360"/>
      </c:barChart>
      <c:catAx>
        <c:axId val="74957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9577360"/>
        <c:crosses val="autoZero"/>
        <c:auto val="1"/>
        <c:lblAlgn val="ctr"/>
        <c:lblOffset val="100"/>
        <c:noMultiLvlLbl val="0"/>
      </c:catAx>
      <c:valAx>
        <c:axId val="74957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957664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Raw Material</a:t>
            </a:r>
            <a:r>
              <a:rPr lang="zh-TW" altLang="en-US"/>
              <a:t>排放比率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'Raw Material'!$C$1</c:f>
              <c:strCache>
                <c:ptCount val="1"/>
                <c:pt idx="0">
                  <c:v>百分比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94-4EB6-B11E-02B99FB960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B94-4EB6-B11E-02B99FB960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B94-4EB6-B11E-02B99FB960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B94-4EB6-B11E-02B99FB960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B94-4EB6-B11E-02B99FB960B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B94-4EB6-B11E-02B99FB960B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B94-4EB6-B11E-02B99FB960B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B94-4EB6-B11E-02B99FB960B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B94-4EB6-B11E-02B99FB960B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B94-4EB6-B11E-02B99FB960B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5B94-4EB6-B11E-02B99FB960BA}"/>
              </c:ext>
            </c:extLst>
          </c:dPt>
          <c:cat>
            <c:numRef>
              <c:f>'Raw Material'!$A$2:$A$12</c:f>
              <c:numCache>
                <c:formatCode>General</c:formatCode>
                <c:ptCount val="11"/>
              </c:numCache>
            </c:numRef>
          </c:cat>
          <c:val>
            <c:numRef>
              <c:f>'Raw Material'!$C$2:$C$12</c:f>
              <c:numCache>
                <c:formatCode>0.00%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6-5B94-4EB6-B11E-02B99FB96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Manufacturing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Manufacturing!$B$1</c:f>
              <c:strCache>
                <c:ptCount val="1"/>
                <c:pt idx="0">
                  <c:v>kg CO2e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Manufacturing!$A$2:$A$11</c:f>
              <c:numCache>
                <c:formatCode>General</c:formatCode>
                <c:ptCount val="10"/>
              </c:numCache>
            </c:numRef>
          </c:cat>
          <c:val>
            <c:numRef>
              <c:f>Manufacturing!$B$2:$B$11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E029-4079-AC41-E7BFA1627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286264"/>
        <c:axId val="784279424"/>
      </c:barChart>
      <c:catAx>
        <c:axId val="78428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4279424"/>
        <c:crosses val="autoZero"/>
        <c:auto val="1"/>
        <c:lblAlgn val="ctr"/>
        <c:lblOffset val="100"/>
        <c:noMultiLvlLbl val="0"/>
      </c:catAx>
      <c:valAx>
        <c:axId val="78427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428626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Manufacturing</a:t>
            </a:r>
            <a:r>
              <a:rPr lang="zh-TW" altLang="en-US"/>
              <a:t>排放比率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Manufacturing!$C$1</c:f>
              <c:strCache>
                <c:ptCount val="1"/>
                <c:pt idx="0">
                  <c:v>百分比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797-4610-B449-779FC46986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797-4610-B449-779FC46986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797-4610-B449-779FC46986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797-4610-B449-779FC46986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797-4610-B449-779FC46986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797-4610-B449-779FC46986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797-4610-B449-779FC46986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797-4610-B449-779FC469869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797-4610-B449-779FC469869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797-4610-B449-779FC4698696}"/>
              </c:ext>
            </c:extLst>
          </c:dPt>
          <c:cat>
            <c:numRef>
              <c:f>Manufacturing!$A$2:$A$11</c:f>
              <c:numCache>
                <c:formatCode>General</c:formatCode>
                <c:ptCount val="10"/>
              </c:numCache>
            </c:numRef>
          </c:cat>
          <c:val>
            <c:numRef>
              <c:f>Manufacturing!$C$2:$C$11</c:f>
              <c:numCache>
                <c:formatCode>0.00%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14-3797-4610-B449-779FC4698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Distribution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Distribution!$B$1</c:f>
              <c:strCache>
                <c:ptCount val="1"/>
                <c:pt idx="0">
                  <c:v>kg CO2e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Distribution!$A$2:$A$11</c:f>
              <c:numCache>
                <c:formatCode>General</c:formatCode>
                <c:ptCount val="10"/>
              </c:numCache>
            </c:numRef>
          </c:cat>
          <c:val>
            <c:numRef>
              <c:f>Distribution!$B$2:$B$11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6DD1-4B77-8F6D-F7DB19D19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567640"/>
        <c:axId val="749568000"/>
      </c:barChart>
      <c:catAx>
        <c:axId val="74956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9568000"/>
        <c:crosses val="autoZero"/>
        <c:auto val="1"/>
        <c:lblAlgn val="ctr"/>
        <c:lblOffset val="100"/>
        <c:noMultiLvlLbl val="0"/>
      </c:catAx>
      <c:valAx>
        <c:axId val="74956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956764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Distribution</a:t>
            </a:r>
            <a:r>
              <a:rPr lang="zh-TW" alt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排放比率</a:t>
            </a:r>
            <a:endParaRPr lang="en-US" altLang="zh-TW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2"/>
          <c:order val="0"/>
          <c:tx>
            <c:strRef>
              <c:f>Distribution!$C$1</c:f>
              <c:strCache>
                <c:ptCount val="1"/>
                <c:pt idx="0">
                  <c:v>百分比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F02-4FAA-854D-84DF427DF2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F02-4FAA-854D-84DF427DF2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F02-4FAA-854D-84DF427DF2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F02-4FAA-854D-84DF427DF2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F02-4FAA-854D-84DF427DF2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F02-4FAA-854D-84DF427DF2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F02-4FAA-854D-84DF427DF2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F02-4FAA-854D-84DF427DF2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F02-4FAA-854D-84DF427DF2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F02-4FAA-854D-84DF427DF223}"/>
              </c:ext>
            </c:extLst>
          </c:dPt>
          <c:cat>
            <c:numRef>
              <c:f>Distribution!$A$2:$A$11</c:f>
              <c:numCache>
                <c:formatCode>General</c:formatCode>
                <c:ptCount val="10"/>
              </c:numCache>
            </c:numRef>
          </c:cat>
          <c:val>
            <c:numRef>
              <c:f>Distribution!$C$2:$C$11</c:f>
              <c:numCache>
                <c:formatCode>0.00%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14-0F02-4FAA-854D-84DF427DF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Usage!$B$1</c:f>
              <c:strCache>
                <c:ptCount val="1"/>
                <c:pt idx="0">
                  <c:v>kg CO2e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Usage!$A$2:$A$11</c:f>
              <c:numCache>
                <c:formatCode>General</c:formatCode>
                <c:ptCount val="10"/>
              </c:numCache>
            </c:numRef>
          </c:cat>
          <c:val>
            <c:numRef>
              <c:f>Usage!$B$2:$B$11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2F34-4347-A9B0-3DC5CD55F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725056"/>
        <c:axId val="736722176"/>
      </c:barChart>
      <c:catAx>
        <c:axId val="73672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6722176"/>
        <c:crosses val="autoZero"/>
        <c:auto val="1"/>
        <c:lblAlgn val="ctr"/>
        <c:lblOffset val="100"/>
        <c:noMultiLvlLbl val="0"/>
      </c:catAx>
      <c:valAx>
        <c:axId val="73672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672505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Usage</a:t>
            </a:r>
            <a:r>
              <a:rPr lang="zh-TW" altLang="en-US"/>
              <a:t>排放比率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9E-4919-A38D-1D19DD4AF3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9E-4919-A38D-1D19DD4AF3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9E-4919-A38D-1D19DD4AF3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09E-4919-A38D-1D19DD4AF3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09E-4919-A38D-1D19DD4AF3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09E-4919-A38D-1D19DD4AF3F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09E-4919-A38D-1D19DD4AF3F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09E-4919-A38D-1D19DD4AF3F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09E-4919-A38D-1D19DD4AF3F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09E-4919-A38D-1D19DD4AF3FA}"/>
              </c:ext>
            </c:extLst>
          </c:dPt>
          <c:cat>
            <c:numRef>
              <c:f>Usage!$A$2:$A$11</c:f>
              <c:numCache>
                <c:formatCode>General</c:formatCode>
                <c:ptCount val="10"/>
              </c:numCache>
            </c:numRef>
          </c:cat>
          <c:val>
            <c:numRef>
              <c:f>Usage!$C$2:$C$11</c:f>
              <c:numCache>
                <c:formatCode>0.00%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14-B09E-4919-A38D-1D19DD4A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Recycling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Recycling!$B$1</c:f>
              <c:strCache>
                <c:ptCount val="1"/>
                <c:pt idx="0">
                  <c:v>kg CO2e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Recycling!$A$2:$A$11</c:f>
              <c:numCache>
                <c:formatCode>General</c:formatCode>
                <c:ptCount val="10"/>
              </c:numCache>
            </c:numRef>
          </c:cat>
          <c:val>
            <c:numRef>
              <c:f>Recycling!$B$2:$B$11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7F33-4559-89CD-1786E6CA3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7097128"/>
        <c:axId val="787097488"/>
      </c:barChart>
      <c:catAx>
        <c:axId val="787097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7097488"/>
        <c:crosses val="autoZero"/>
        <c:auto val="1"/>
        <c:lblAlgn val="ctr"/>
        <c:lblOffset val="100"/>
        <c:noMultiLvlLbl val="0"/>
      </c:catAx>
      <c:valAx>
        <c:axId val="78709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709712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Recycling</a:t>
            </a:r>
            <a:r>
              <a:rPr lang="zh-TW" altLang="en-US"/>
              <a:t>排放比率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Recycling!$C$1</c:f>
              <c:strCache>
                <c:ptCount val="1"/>
                <c:pt idx="0">
                  <c:v>百分比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116-49F8-A32F-AE7F3BD35A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116-49F8-A32F-AE7F3BD35A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116-49F8-A32F-AE7F3BD35A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116-49F8-A32F-AE7F3BD35A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116-49F8-A32F-AE7F3BD35A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116-49F8-A32F-AE7F3BD35A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116-49F8-A32F-AE7F3BD35A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116-49F8-A32F-AE7F3BD35A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116-49F8-A32F-AE7F3BD35AE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116-49F8-A32F-AE7F3BD35AE4}"/>
              </c:ext>
            </c:extLst>
          </c:dPt>
          <c:cat>
            <c:numRef>
              <c:f>Recycling!$A$2:$A$11</c:f>
              <c:numCache>
                <c:formatCode>General</c:formatCode>
                <c:ptCount val="10"/>
              </c:numCache>
            </c:numRef>
          </c:cat>
          <c:val>
            <c:numRef>
              <c:f>Recycling!$C$2:$C$11</c:f>
              <c:numCache>
                <c:formatCode>0.00%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14-9116-49F8-A32F-AE7F3BD35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107673</xdr:colOff>
      <xdr:row>0</xdr:row>
      <xdr:rowOff>144118</xdr:rowOff>
    </xdr:from>
    <xdr:to>
      <xdr:col>13</xdr:col>
      <xdr:colOff>584200</xdr:colOff>
      <xdr:row>10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119530</xdr:colOff>
      <xdr:row>14</xdr:row>
      <xdr:rowOff>112059</xdr:rowOff>
    </xdr:from>
    <xdr:to>
      <xdr:col>13</xdr:col>
      <xdr:colOff>566791</xdr:colOff>
      <xdr:row>28</xdr:row>
      <xdr:rowOff>115502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13</xdr:col>
      <xdr:colOff>447261</xdr:colOff>
      <xdr:row>44</xdr:row>
      <xdr:rowOff>48266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0</xdr:row>
      <xdr:rowOff>14287</xdr:rowOff>
    </xdr:from>
    <xdr:to>
      <xdr:col>10</xdr:col>
      <xdr:colOff>438150</xdr:colOff>
      <xdr:row>12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17</xdr:col>
      <xdr:colOff>457200</xdr:colOff>
      <xdr:row>12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652462</xdr:colOff>
      <xdr:row>0</xdr:row>
      <xdr:rowOff>23812</xdr:rowOff>
    </xdr:from>
    <xdr:to>
      <xdr:col>10</xdr:col>
      <xdr:colOff>423862</xdr:colOff>
      <xdr:row>12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552450</xdr:colOff>
      <xdr:row>0</xdr:row>
      <xdr:rowOff>23812</xdr:rowOff>
    </xdr:from>
    <xdr:to>
      <xdr:col>17</xdr:col>
      <xdr:colOff>323850</xdr:colOff>
      <xdr:row>12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681037</xdr:colOff>
      <xdr:row>0</xdr:row>
      <xdr:rowOff>0</xdr:rowOff>
    </xdr:from>
    <xdr:to>
      <xdr:col>10</xdr:col>
      <xdr:colOff>452437</xdr:colOff>
      <xdr:row>12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647700</xdr:colOff>
      <xdr:row>0</xdr:row>
      <xdr:rowOff>0</xdr:rowOff>
    </xdr:from>
    <xdr:to>
      <xdr:col>17</xdr:col>
      <xdr:colOff>419100</xdr:colOff>
      <xdr:row>12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661987</xdr:colOff>
      <xdr:row>0</xdr:row>
      <xdr:rowOff>0</xdr:rowOff>
    </xdr:from>
    <xdr:to>
      <xdr:col>10</xdr:col>
      <xdr:colOff>433387</xdr:colOff>
      <xdr:row>12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17</xdr:col>
      <xdr:colOff>457200</xdr:colOff>
      <xdr:row>12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</xdr:colOff>
      <xdr:row>0</xdr:row>
      <xdr:rowOff>4762</xdr:rowOff>
    </xdr:from>
    <xdr:to>
      <xdr:col>10</xdr:col>
      <xdr:colOff>471487</xdr:colOff>
      <xdr:row>12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17</xdr:col>
      <xdr:colOff>457200</xdr:colOff>
      <xdr:row>12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2" displayName="表格2" ref="A1:F5" totalsRowShown="0" headerRowDxfId="52" dataDxfId="51" tableBorderDxfId="50">
  <autoFilter ref="A1:F5" xr:uid="{00000000-0009-0000-0100-000001000000}"/>
  <tableColumns count="6">
    <tableColumn id="1" xr3:uid="{00000000-0010-0000-0000-000001000000}" name="階段_x000a_能源類別" dataDxfId="49"/>
    <tableColumn id="2" xr3:uid="{00000000-0010-0000-0000-000002000000}" name="Raw Material" dataDxfId="48"/>
    <tableColumn id="3" xr3:uid="{00000000-0010-0000-0000-000003000000}" name="Manufacturing" dataDxfId="47"/>
    <tableColumn id="4" xr3:uid="{00000000-0010-0000-0000-000004000000}" name="Distribution" dataDxfId="46"/>
    <tableColumn id="5" xr3:uid="{00000000-0010-0000-0000-000005000000}" name="Usage" dataDxfId="45"/>
    <tableColumn id="6" xr3:uid="{00000000-0010-0000-0000-000006000000}" name="Recycling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格3" displayName="表格3" ref="A10:C16" totalsRowShown="0" headerRowDxfId="43" headerRowBorderDxfId="42" tableBorderDxfId="41">
  <autoFilter ref="A10:C16" xr:uid="{00000000-0009-0000-0100-000002000000}"/>
  <tableColumns count="3">
    <tableColumn id="1" xr3:uid="{00000000-0010-0000-0100-000001000000}" name="項目(類別)" dataDxfId="40"/>
    <tableColumn id="2" xr3:uid="{00000000-0010-0000-0100-000002000000}" name="排放量(kg CO2e)" dataDxfId="39"/>
    <tableColumn id="3" xr3:uid="{00000000-0010-0000-0100-000003000000}" name="百分比" dataDxfId="38">
      <calculatedColumnFormula>B11/B$16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格9" displayName="表格9" ref="B19:G24" totalsRowCount="1" headerRowDxfId="37">
  <autoFilter ref="B19:G23" xr:uid="{00000000-0009-0000-0100-000003000000}"/>
  <tableColumns count="6">
    <tableColumn id="1" xr3:uid="{00000000-0010-0000-0200-000001000000}" name="Raw Material" totalsRowFunction="custom" dataDxfId="36" totalsRowDxfId="5">
      <calculatedColumnFormula>B3/SUM(表格2[[Raw Material]:[Recycling]])</calculatedColumnFormula>
      <totalsRowFormula>SUM(B20:B23)</totalsRowFormula>
    </tableColumn>
    <tableColumn id="2" xr3:uid="{00000000-0010-0000-0200-000002000000}" name="Manufacturing" totalsRowFunction="custom" dataDxfId="35" totalsRowDxfId="4">
      <calculatedColumnFormula>C3/SUM(表格2[[Raw Material]:[Recycling]])</calculatedColumnFormula>
      <totalsRowFormula>SUM(C20:C23)</totalsRowFormula>
    </tableColumn>
    <tableColumn id="3" xr3:uid="{00000000-0010-0000-0200-000003000000}" name="Distribution" totalsRowFunction="custom" dataDxfId="34" totalsRowDxfId="3">
      <calculatedColumnFormula>D3/SUM(表格2[[Raw Material]:[Recycling]])</calculatedColumnFormula>
      <totalsRowFormula>SUM(D20:D23)</totalsRowFormula>
    </tableColumn>
    <tableColumn id="4" xr3:uid="{00000000-0010-0000-0200-000004000000}" name="Usage" totalsRowFunction="custom" dataDxfId="33" totalsRowDxfId="2">
      <calculatedColumnFormula>E3/SUM(表格2[[Raw Material]:[Recycling]])</calculatedColumnFormula>
      <totalsRowFormula>SUM(E20:E23)</totalsRowFormula>
    </tableColumn>
    <tableColumn id="5" xr3:uid="{00000000-0010-0000-0200-000005000000}" name="Recycling" totalsRowFunction="custom" dataDxfId="32" totalsRowDxfId="1">
      <calculatedColumnFormula>F3/SUM(表格2[[Raw Material]:[Recycling]])</calculatedColumnFormula>
      <totalsRowFormula>SUM(F20:F23)</totalsRowFormula>
    </tableColumn>
    <tableColumn id="6" xr3:uid="{00000000-0010-0000-0200-000006000000}" name="總碳排百分比" totalsRowFunction="custom" dataDxfId="31" totalsRowDxfId="0">
      <calculatedColumnFormula>SUM(B20:F20)</calculatedColumnFormula>
      <totalsRowFormula>SUM(B24:F24)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表格4" displayName="表格4" ref="A1:C11" totalsRowShown="0" headerRowBorderDxfId="30" tableBorderDxfId="29">
  <autoFilter ref="A1:C11" xr:uid="{00000000-0009-0000-0100-000004000000}"/>
  <sortState xmlns:xlrd2="http://schemas.microsoft.com/office/spreadsheetml/2017/richdata2" ref="A2:C11">
    <sortCondition descending="1" ref="C1:C11"/>
  </sortState>
  <tableColumns count="3">
    <tableColumn id="1" xr3:uid="{00000000-0010-0000-0300-000001000000}" name="項目" dataDxfId="28"/>
    <tableColumn id="2" xr3:uid="{00000000-0010-0000-0300-000002000000}" name="kg CO2e" dataDxfId="27"/>
    <tableColumn id="3" xr3:uid="{00000000-0010-0000-0300-000003000000}" name="百分比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表格4_2" displayName="表格4_2" ref="A1:C11" totalsRowShown="0" headerRowBorderDxfId="25" tableBorderDxfId="24">
  <autoFilter ref="A1:C11" xr:uid="{00000000-0009-0000-0100-000005000000}"/>
  <tableColumns count="3">
    <tableColumn id="1" xr3:uid="{00000000-0010-0000-0400-000001000000}" name="項目" dataDxfId="23"/>
    <tableColumn id="2" xr3:uid="{00000000-0010-0000-0400-000002000000}" name="kg CO2e" dataDxfId="22"/>
    <tableColumn id="3" xr3:uid="{00000000-0010-0000-0400-000003000000}" name="百分比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表格4_26" displayName="表格4_26" ref="A1:C11" totalsRowShown="0" headerRowBorderDxfId="20" tableBorderDxfId="19">
  <autoFilter ref="A1:C11" xr:uid="{00000000-0009-0000-0100-000006000000}"/>
  <tableColumns count="3">
    <tableColumn id="1" xr3:uid="{00000000-0010-0000-0500-000001000000}" name="項目" dataDxfId="18"/>
    <tableColumn id="2" xr3:uid="{00000000-0010-0000-0500-000002000000}" name="kg CO2e" dataDxfId="17"/>
    <tableColumn id="3" xr3:uid="{00000000-0010-0000-0500-000003000000}" name="百分比" dataDxfId="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表格4_267" displayName="表格4_267" ref="A1:C11" totalsRowShown="0" headerRowBorderDxfId="15" tableBorderDxfId="14">
  <autoFilter ref="A1:C11" xr:uid="{00000000-0009-0000-0100-000007000000}"/>
  <tableColumns count="3">
    <tableColumn id="1" xr3:uid="{00000000-0010-0000-0600-000001000000}" name="項目" dataDxfId="13"/>
    <tableColumn id="2" xr3:uid="{00000000-0010-0000-0600-000002000000}" name="kg CO2e" dataDxfId="12"/>
    <tableColumn id="3" xr3:uid="{00000000-0010-0000-0600-000003000000}" name="百分比" dataDxfId="1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表格4_2678" displayName="表格4_2678" ref="A1:C11" totalsRowShown="0" headerRowBorderDxfId="10" tableBorderDxfId="9">
  <autoFilter ref="A1:C11" xr:uid="{00000000-0009-0000-0100-000008000000}"/>
  <tableColumns count="3">
    <tableColumn id="1" xr3:uid="{00000000-0010-0000-0700-000001000000}" name="項目" dataDxfId="8"/>
    <tableColumn id="2" xr3:uid="{00000000-0010-0000-0700-000002000000}" name="kg CO2e" dataDxfId="7"/>
    <tableColumn id="3" xr3:uid="{00000000-0010-0000-0700-000003000000}" name="百分比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4"/>
  <sheetViews>
    <sheetView tabSelected="1" zoomScale="70" zoomScaleNormal="70" workbookViewId="0">
      <selection activeCell="B2" sqref="B2:C3"/>
    </sheetView>
  </sheetViews>
  <sheetFormatPr defaultRowHeight="17" x14ac:dyDescent="0.4"/>
  <cols>
    <col min="1" max="1" width="33.90625" style="42" customWidth="1"/>
    <col min="2" max="2" width="16.453125" style="42" customWidth="1"/>
    <col min="3" max="3" width="15.1796875" style="42" customWidth="1"/>
    <col min="4" max="4" width="14" style="42" customWidth="1"/>
    <col min="5" max="5" width="10.26953125" style="42" customWidth="1"/>
    <col min="6" max="6" width="11.81640625" style="42" customWidth="1"/>
    <col min="22" max="22" width="12.26953125" style="42" bestFit="1" customWidth="1"/>
    <col min="23" max="23" width="9" style="42" bestFit="1" customWidth="1"/>
    <col min="24" max="24" width="16.7265625" style="42" customWidth="1"/>
    <col min="25" max="25" width="12.26953125" style="42" bestFit="1" customWidth="1"/>
    <col min="27" max="31" width="14.90625" style="42" hidden="1" customWidth="1"/>
    <col min="32" max="36" width="11.81640625" style="42" hidden="1" customWidth="1"/>
    <col min="37" max="41" width="11.453125" style="42" hidden="1" customWidth="1"/>
    <col min="42" max="42" width="14.90625" style="42" hidden="1" customWidth="1"/>
    <col min="43" max="70" width="0" style="42" hidden="1"/>
  </cols>
  <sheetData>
    <row r="1" spans="1:70" ht="44.5" customHeight="1" x14ac:dyDescent="0.4">
      <c r="A1" s="9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7" t="s">
        <v>5</v>
      </c>
      <c r="T1" s="31" t="s">
        <v>6</v>
      </c>
      <c r="U1" s="32" t="s">
        <v>71</v>
      </c>
      <c r="V1" s="32" t="s">
        <v>7</v>
      </c>
      <c r="W1" s="32" t="s">
        <v>8</v>
      </c>
      <c r="X1" s="36" t="s">
        <v>9</v>
      </c>
      <c r="Y1" s="33" t="s">
        <v>10</v>
      </c>
      <c r="Z1" s="33" t="s">
        <v>11</v>
      </c>
      <c r="AA1" s="38" t="s">
        <v>12</v>
      </c>
      <c r="AB1" s="38" t="s">
        <v>13</v>
      </c>
      <c r="AC1" s="38" t="s">
        <v>14</v>
      </c>
      <c r="AD1" s="38" t="s">
        <v>15</v>
      </c>
      <c r="AE1" s="38" t="s">
        <v>16</v>
      </c>
      <c r="AF1" s="39" t="s">
        <v>17</v>
      </c>
      <c r="AG1" s="39" t="s">
        <v>18</v>
      </c>
      <c r="AH1" s="39" t="s">
        <v>19</v>
      </c>
      <c r="AI1" s="39" t="s">
        <v>20</v>
      </c>
      <c r="AJ1" s="39" t="s">
        <v>21</v>
      </c>
      <c r="AK1" s="40" t="s">
        <v>22</v>
      </c>
      <c r="AL1" s="40" t="s">
        <v>23</v>
      </c>
      <c r="AM1" s="40" t="s">
        <v>24</v>
      </c>
      <c r="AN1" s="40" t="s">
        <v>25</v>
      </c>
      <c r="AO1" s="40" t="s">
        <v>26</v>
      </c>
      <c r="AP1" s="40" t="s">
        <v>27</v>
      </c>
      <c r="AQ1" s="40" t="s">
        <v>28</v>
      </c>
      <c r="AR1" s="40" t="s">
        <v>29</v>
      </c>
      <c r="AS1" s="40" t="s">
        <v>30</v>
      </c>
      <c r="AT1" s="40" t="s">
        <v>31</v>
      </c>
      <c r="AU1" s="40" t="s">
        <v>32</v>
      </c>
      <c r="AV1" s="40" t="s">
        <v>33</v>
      </c>
      <c r="AW1" s="40" t="s">
        <v>34</v>
      </c>
      <c r="AX1" s="40" t="s">
        <v>35</v>
      </c>
      <c r="AY1" s="40" t="s">
        <v>36</v>
      </c>
      <c r="AZ1" s="40" t="s">
        <v>37</v>
      </c>
      <c r="BA1" s="40" t="s">
        <v>38</v>
      </c>
      <c r="BB1" s="40" t="s">
        <v>39</v>
      </c>
      <c r="BC1" s="40" t="s">
        <v>40</v>
      </c>
      <c r="BD1" s="40" t="s">
        <v>41</v>
      </c>
      <c r="BE1" s="40" t="s">
        <v>42</v>
      </c>
      <c r="BF1" s="40" t="s">
        <v>43</v>
      </c>
      <c r="BG1" s="40" t="s">
        <v>44</v>
      </c>
      <c r="BH1" s="40" t="s">
        <v>45</v>
      </c>
      <c r="BI1" s="40" t="s">
        <v>46</v>
      </c>
      <c r="BJ1" s="40" t="s">
        <v>47</v>
      </c>
      <c r="BK1" s="40" t="s">
        <v>48</v>
      </c>
      <c r="BL1" s="40" t="s">
        <v>49</v>
      </c>
      <c r="BM1" s="40" t="s">
        <v>50</v>
      </c>
      <c r="BN1" s="40" t="s">
        <v>51</v>
      </c>
      <c r="BO1" s="40" t="s">
        <v>52</v>
      </c>
      <c r="BP1" s="40" t="s">
        <v>53</v>
      </c>
      <c r="BQ1" s="40" t="s">
        <v>54</v>
      </c>
      <c r="BR1" s="40" t="s">
        <v>55</v>
      </c>
    </row>
    <row r="2" spans="1:70" ht="44.5" customHeight="1" thickBot="1" x14ac:dyDescent="0.45">
      <c r="A2" s="3" t="s">
        <v>56</v>
      </c>
      <c r="B2" s="43"/>
      <c r="C2" s="43"/>
      <c r="D2" s="43"/>
      <c r="E2" s="43"/>
      <c r="F2" s="44"/>
      <c r="T2" s="34" t="s">
        <v>58</v>
      </c>
      <c r="U2" s="45">
        <f>表格2[[#This Row],[Raw Material]]</f>
        <v>0</v>
      </c>
      <c r="V2" s="45">
        <f>B3</f>
        <v>0</v>
      </c>
      <c r="W2" s="45">
        <f>B4</f>
        <v>0</v>
      </c>
      <c r="X2" s="45">
        <f>B5</f>
        <v>0</v>
      </c>
      <c r="Y2" s="45">
        <f>SUM(U2:X2)</f>
        <v>0</v>
      </c>
      <c r="Z2" s="35" t="e">
        <f>表格9[[#Totals],[Raw Material]]</f>
        <v>#DIV/0!</v>
      </c>
      <c r="AA2" s="38"/>
      <c r="AB2" s="38"/>
      <c r="AC2" s="38"/>
      <c r="AD2" s="38"/>
      <c r="AE2" s="38"/>
      <c r="AF2" s="39"/>
      <c r="AG2" s="39"/>
      <c r="AH2" s="39"/>
      <c r="AI2" s="39"/>
      <c r="AJ2" s="39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</row>
    <row r="3" spans="1:70" ht="51.5" customHeight="1" thickBot="1" x14ac:dyDescent="0.45">
      <c r="A3" s="3" t="s">
        <v>57</v>
      </c>
      <c r="B3" s="43"/>
      <c r="C3" s="43"/>
      <c r="D3" s="43"/>
      <c r="E3" s="43"/>
      <c r="F3" s="44"/>
      <c r="T3" s="34" t="s">
        <v>60</v>
      </c>
      <c r="U3" s="45">
        <f>C2</f>
        <v>0</v>
      </c>
      <c r="V3" s="45">
        <f>C3</f>
        <v>0</v>
      </c>
      <c r="W3" s="45">
        <f>C4</f>
        <v>0</v>
      </c>
      <c r="X3" s="45">
        <f>C5</f>
        <v>0</v>
      </c>
      <c r="Y3" s="45">
        <f t="shared" ref="Y3:Y6" si="0">SUM(U3:X3)</f>
        <v>0</v>
      </c>
      <c r="Z3" s="35" t="e">
        <f>表格9[[#Totals],[Manufacturing]]</f>
        <v>#DIV/0!</v>
      </c>
      <c r="AA3" s="37" t="e">
        <f>LARGE(C11:C15, 1)</f>
        <v>#DIV/0!</v>
      </c>
      <c r="AB3" s="37" t="e">
        <f>LARGE(C11:C15, 2)</f>
        <v>#DIV/0!</v>
      </c>
      <c r="AC3" s="37" t="e">
        <f>LARGE(C11:C15, 3)</f>
        <v>#DIV/0!</v>
      </c>
      <c r="AD3" s="37" t="e">
        <f>LARGE(C11:C15, 4)</f>
        <v>#DIV/0!</v>
      </c>
      <c r="AE3" s="37" t="e">
        <f>LARGE(C11:C15, 5)</f>
        <v>#DIV/0!</v>
      </c>
      <c r="AF3" s="46">
        <f>LARGE($B$7:$F$7, 1)</f>
        <v>0</v>
      </c>
      <c r="AG3" s="46">
        <f>LARGE($B$7:$F$7, 2)</f>
        <v>0</v>
      </c>
      <c r="AH3" s="46">
        <f>LARGE($B$7:$F$7, 3)</f>
        <v>0</v>
      </c>
      <c r="AI3" s="46">
        <f>LARGE($B$7:$F$7, 4)</f>
        <v>0</v>
      </c>
      <c r="AJ3" s="46">
        <f>LARGE($B$7:$F$7, 5)</f>
        <v>0</v>
      </c>
      <c r="AK3" t="e">
        <f>INDEX($A$11:$A$15, MATCH(AA3, $C$11:$C$15, 0))</f>
        <v>#DIV/0!</v>
      </c>
      <c r="AL3" t="e">
        <f>INDEX($A$11:$A$15, MATCH(AB3, $C$11:$C$15, 0))</f>
        <v>#DIV/0!</v>
      </c>
      <c r="AM3" t="e">
        <f>INDEX($A$11:$A$15, MATCH(AC3, $C$11:$C$15, 0))</f>
        <v>#DIV/0!</v>
      </c>
      <c r="AN3" t="e">
        <f>INDEX($A$11:$A$15, MATCH(AD3, $C$11:$C$15, 0))</f>
        <v>#DIV/0!</v>
      </c>
      <c r="AO3" t="e">
        <f>INDEX($A$11:$A$15, MATCH(AE3, $C$11:$C$15, 0))</f>
        <v>#DIV/0!</v>
      </c>
      <c r="AP3" s="47">
        <f>表格2[[#This Row],[Raw Material]]</f>
        <v>0</v>
      </c>
      <c r="AQ3" s="47">
        <f>B4</f>
        <v>0</v>
      </c>
      <c r="AR3" s="47">
        <f>B5</f>
        <v>0</v>
      </c>
      <c r="AS3" s="47">
        <f>表格2[[#This Row],[Manufacturing]]</f>
        <v>0</v>
      </c>
      <c r="AT3" s="47">
        <f>C4</f>
        <v>0</v>
      </c>
      <c r="AU3" s="47">
        <f>C5</f>
        <v>0</v>
      </c>
      <c r="AV3" s="47">
        <f>表格2[[#This Row],[Distribution]]</f>
        <v>0</v>
      </c>
      <c r="AW3" s="47">
        <f>D4</f>
        <v>0</v>
      </c>
      <c r="AX3" s="47">
        <f>D5</f>
        <v>0</v>
      </c>
      <c r="AY3" s="47">
        <f>表格2[[#This Row],[Usage]]</f>
        <v>0</v>
      </c>
      <c r="AZ3" s="47">
        <f>E4</f>
        <v>0</v>
      </c>
      <c r="BA3" s="47">
        <f>E5</f>
        <v>0</v>
      </c>
      <c r="BB3" s="47">
        <f>表格2[[#This Row],[Recycling]]</f>
        <v>0</v>
      </c>
      <c r="BC3" s="47">
        <f>F4</f>
        <v>0</v>
      </c>
      <c r="BD3" s="47">
        <f>F5</f>
        <v>0</v>
      </c>
      <c r="BE3" s="47">
        <f>B11</f>
        <v>0</v>
      </c>
      <c r="BF3" s="47">
        <f>B12</f>
        <v>0</v>
      </c>
      <c r="BG3" s="47">
        <f>B13</f>
        <v>0</v>
      </c>
      <c r="BH3" s="47">
        <f>B14</f>
        <v>0</v>
      </c>
      <c r="BI3" s="47">
        <f>B15</f>
        <v>0</v>
      </c>
      <c r="BJ3" s="47" t="e">
        <f>C11</f>
        <v>#DIV/0!</v>
      </c>
      <c r="BK3" s="47" t="e">
        <f>C12</f>
        <v>#DIV/0!</v>
      </c>
      <c r="BL3" s="47" t="e">
        <f>C13</f>
        <v>#DIV/0!</v>
      </c>
      <c r="BM3" s="47" t="e">
        <f>C14</f>
        <v>#DIV/0!</v>
      </c>
      <c r="BN3" s="47" t="e">
        <f>C15</f>
        <v>#DIV/0!</v>
      </c>
      <c r="BO3" s="41" t="e">
        <f>G21</f>
        <v>#DIV/0!</v>
      </c>
      <c r="BP3" s="41" t="e">
        <f>G22</f>
        <v>#DIV/0!</v>
      </c>
      <c r="BQ3" s="41" t="e">
        <f>G23</f>
        <v>#DIV/0!</v>
      </c>
      <c r="BR3" s="47">
        <f>B16</f>
        <v>0</v>
      </c>
    </row>
    <row r="4" spans="1:70" ht="51.5" customHeight="1" thickBot="1" x14ac:dyDescent="0.45">
      <c r="A4" s="3" t="s">
        <v>59</v>
      </c>
      <c r="B4" s="43"/>
      <c r="C4" s="43"/>
      <c r="D4" s="43"/>
      <c r="E4" s="43"/>
      <c r="F4" s="44"/>
      <c r="T4" s="34" t="s">
        <v>62</v>
      </c>
      <c r="U4" s="45">
        <f>D2</f>
        <v>0</v>
      </c>
      <c r="V4" s="45">
        <f>D3</f>
        <v>0</v>
      </c>
      <c r="W4" s="45">
        <f>D4</f>
        <v>0</v>
      </c>
      <c r="X4" s="45">
        <f>D5</f>
        <v>0</v>
      </c>
      <c r="Y4" s="45">
        <f t="shared" si="0"/>
        <v>0</v>
      </c>
      <c r="Z4" s="35" t="e">
        <f>表格9[[#Totals],[Distribution]]</f>
        <v>#DIV/0!</v>
      </c>
    </row>
    <row r="5" spans="1:70" ht="34.5" customHeight="1" thickBot="1" x14ac:dyDescent="0.45">
      <c r="A5" s="8" t="s">
        <v>61</v>
      </c>
      <c r="B5" s="48"/>
      <c r="C5" s="48"/>
      <c r="D5" s="48"/>
      <c r="E5" s="48"/>
      <c r="F5" s="49"/>
      <c r="T5" s="34" t="s">
        <v>63</v>
      </c>
      <c r="U5" s="45">
        <f>E2</f>
        <v>0</v>
      </c>
      <c r="V5" s="45">
        <f>E3</f>
        <v>0</v>
      </c>
      <c r="W5" s="45">
        <f>E4</f>
        <v>0</v>
      </c>
      <c r="X5" s="45">
        <f>E5</f>
        <v>0</v>
      </c>
      <c r="Y5" s="45">
        <f t="shared" si="0"/>
        <v>0</v>
      </c>
      <c r="Z5" s="35" t="e">
        <f>表格9[[#Totals],[Usage]]</f>
        <v>#DIV/0!</v>
      </c>
    </row>
    <row r="6" spans="1:70" ht="34.5" customHeight="1" thickBot="1" x14ac:dyDescent="0.45">
      <c r="A6" s="21"/>
      <c r="B6" s="50">
        <f>SUM(B2:B5)</f>
        <v>0</v>
      </c>
      <c r="C6" s="50">
        <f>SUM(C2:C5)</f>
        <v>0</v>
      </c>
      <c r="D6" s="50">
        <f>SUM(D2:D5)</f>
        <v>0</v>
      </c>
      <c r="E6" s="50">
        <f>SUM(E2:E5)</f>
        <v>0</v>
      </c>
      <c r="F6" s="50">
        <f>SUM(F2:F5)</f>
        <v>0</v>
      </c>
      <c r="T6" s="34" t="s">
        <v>64</v>
      </c>
      <c r="U6" s="45">
        <f>F2</f>
        <v>0</v>
      </c>
      <c r="V6" s="45">
        <f>F3</f>
        <v>0</v>
      </c>
      <c r="W6" s="45">
        <f>F4</f>
        <v>0</v>
      </c>
      <c r="X6" s="45">
        <f>F5</f>
        <v>0</v>
      </c>
      <c r="Y6" s="45">
        <f t="shared" si="0"/>
        <v>0</v>
      </c>
      <c r="Z6" s="35" t="e">
        <f>表格9[[#Totals],[Recycling]]</f>
        <v>#DIV/0!</v>
      </c>
    </row>
    <row r="7" spans="1:70" ht="34.5" customHeight="1" x14ac:dyDescent="0.4">
      <c r="B7" s="51">
        <f>SUM(B2:B5)</f>
        <v>0</v>
      </c>
      <c r="C7" s="51">
        <f>SUM(C3:C5)</f>
        <v>0</v>
      </c>
      <c r="D7" s="51">
        <f>SUM(D3:D5)</f>
        <v>0</v>
      </c>
      <c r="E7" s="51">
        <f>SUM(E3:E5)</f>
        <v>0</v>
      </c>
      <c r="F7" s="51">
        <f>SUM(F3:F5)</f>
        <v>0</v>
      </c>
    </row>
    <row r="10" spans="1:70" ht="20.25" customHeight="1" thickBot="1" x14ac:dyDescent="0.45">
      <c r="A10" s="19" t="s">
        <v>65</v>
      </c>
      <c r="B10" s="19" t="s">
        <v>66</v>
      </c>
      <c r="C10" s="20" t="s">
        <v>67</v>
      </c>
    </row>
    <row r="11" spans="1:70" ht="17.5" customHeight="1" thickBot="1" x14ac:dyDescent="0.45">
      <c r="A11" s="10" t="s">
        <v>58</v>
      </c>
      <c r="B11" s="52">
        <f>B7</f>
        <v>0</v>
      </c>
      <c r="C11" s="4" t="e">
        <f t="shared" ref="C11:C16" si="1">B11/B$16</f>
        <v>#DIV/0!</v>
      </c>
    </row>
    <row r="12" spans="1:70" ht="17.5" customHeight="1" thickBot="1" x14ac:dyDescent="0.45">
      <c r="A12" s="10" t="s">
        <v>60</v>
      </c>
      <c r="B12" s="52">
        <f>C7</f>
        <v>0</v>
      </c>
      <c r="C12" s="4" t="e">
        <f t="shared" si="1"/>
        <v>#DIV/0!</v>
      </c>
    </row>
    <row r="13" spans="1:70" ht="17.5" customHeight="1" thickBot="1" x14ac:dyDescent="0.45">
      <c r="A13" s="10" t="s">
        <v>62</v>
      </c>
      <c r="B13" s="52">
        <f>D7</f>
        <v>0</v>
      </c>
      <c r="C13" s="4" t="e">
        <f t="shared" si="1"/>
        <v>#DIV/0!</v>
      </c>
    </row>
    <row r="14" spans="1:70" ht="17.5" customHeight="1" thickBot="1" x14ac:dyDescent="0.45">
      <c r="A14" s="10" t="s">
        <v>63</v>
      </c>
      <c r="B14" s="52">
        <f>E7</f>
        <v>0</v>
      </c>
      <c r="C14" s="4" t="e">
        <f t="shared" si="1"/>
        <v>#DIV/0!</v>
      </c>
    </row>
    <row r="15" spans="1:70" ht="17.5" customHeight="1" thickBot="1" x14ac:dyDescent="0.45">
      <c r="A15" s="11" t="s">
        <v>64</v>
      </c>
      <c r="B15" s="53">
        <f>F7</f>
        <v>0</v>
      </c>
      <c r="C15" s="25" t="e">
        <f t="shared" si="1"/>
        <v>#DIV/0!</v>
      </c>
    </row>
    <row r="16" spans="1:70" ht="17.5" customHeight="1" thickBot="1" x14ac:dyDescent="0.45">
      <c r="A16" s="24" t="s">
        <v>68</v>
      </c>
      <c r="B16" s="54">
        <f>SUBTOTAL(109,B11:B15)</f>
        <v>0</v>
      </c>
      <c r="C16" s="23" t="e">
        <f t="shared" si="1"/>
        <v>#DIV/0!</v>
      </c>
    </row>
    <row r="19" spans="1:7" ht="34" customHeight="1" x14ac:dyDescent="0.4">
      <c r="A19" s="28" t="s">
        <v>67</v>
      </c>
      <c r="B19" s="5" t="s">
        <v>1</v>
      </c>
      <c r="C19" s="5" t="s">
        <v>2</v>
      </c>
      <c r="D19" s="6" t="s">
        <v>3</v>
      </c>
      <c r="E19" s="5" t="s">
        <v>4</v>
      </c>
      <c r="F19" s="7" t="s">
        <v>5</v>
      </c>
      <c r="G19" s="30" t="s">
        <v>11</v>
      </c>
    </row>
    <row r="20" spans="1:7" ht="17.5" customHeight="1" thickBot="1" x14ac:dyDescent="0.45">
      <c r="A20" s="26" t="s">
        <v>56</v>
      </c>
      <c r="B20" s="22" t="e">
        <f>B2/SUM(表格2[[Raw Material]:[Recycling]])</f>
        <v>#DIV/0!</v>
      </c>
      <c r="C20" s="22" t="e">
        <f>C2/SUM(表格2[[Raw Material]:[Recycling]])</f>
        <v>#DIV/0!</v>
      </c>
      <c r="D20" s="22" t="e">
        <f>D2/SUM(表格2[[Raw Material]:[Recycling]])</f>
        <v>#DIV/0!</v>
      </c>
      <c r="E20" s="22" t="e">
        <f>E2/SUM(表格2[[Raw Material]:[Recycling]])</f>
        <v>#DIV/0!</v>
      </c>
      <c r="F20" s="22" t="e">
        <f>F2/SUM(表格2[[Raw Material]:[Recycling]])</f>
        <v>#DIV/0!</v>
      </c>
      <c r="G20" s="29" t="e">
        <f>SUM(B20:F20)</f>
        <v>#DIV/0!</v>
      </c>
    </row>
    <row r="21" spans="1:7" ht="17.5" customHeight="1" thickBot="1" x14ac:dyDescent="0.45">
      <c r="A21" s="26" t="s">
        <v>57</v>
      </c>
      <c r="B21" s="22" t="e">
        <f>B3/SUM(表格2[[Raw Material]:[Recycling]])</f>
        <v>#DIV/0!</v>
      </c>
      <c r="C21" s="22" t="e">
        <f>C3/SUM(表格2[[Raw Material]:[Recycling]])</f>
        <v>#DIV/0!</v>
      </c>
      <c r="D21" s="22" t="e">
        <f>D3/SUM(表格2[[Raw Material]:[Recycling]])</f>
        <v>#DIV/0!</v>
      </c>
      <c r="E21" s="22" t="e">
        <f>E3/SUM(表格2[[Raw Material]:[Recycling]])</f>
        <v>#DIV/0!</v>
      </c>
      <c r="F21" s="22" t="e">
        <f>F3/SUM(表格2[[Raw Material]:[Recycling]])</f>
        <v>#DIV/0!</v>
      </c>
      <c r="G21" s="29" t="e">
        <f>SUM(B21:F21)</f>
        <v>#DIV/0!</v>
      </c>
    </row>
    <row r="22" spans="1:7" ht="17.5" customHeight="1" thickBot="1" x14ac:dyDescent="0.45">
      <c r="A22" s="27" t="s">
        <v>59</v>
      </c>
      <c r="B22" s="22" t="e">
        <f>B4/SUM(表格2[[Raw Material]:[Recycling]])</f>
        <v>#DIV/0!</v>
      </c>
      <c r="C22" s="22" t="e">
        <f>C4/SUM(表格2[[Raw Material]:[Recycling]])</f>
        <v>#DIV/0!</v>
      </c>
      <c r="D22" s="22" t="e">
        <f>D4/SUM(表格2[[Raw Material]:[Recycling]])</f>
        <v>#DIV/0!</v>
      </c>
      <c r="E22" s="22" t="e">
        <f>E4/SUM(表格2[[Raw Material]:[Recycling]])</f>
        <v>#DIV/0!</v>
      </c>
      <c r="F22" s="22" t="e">
        <f>F4/SUM(表格2[[Raw Material]:[Recycling]])</f>
        <v>#DIV/0!</v>
      </c>
      <c r="G22" s="29" t="e">
        <f>SUM(B22:F22)</f>
        <v>#DIV/0!</v>
      </c>
    </row>
    <row r="23" spans="1:7" ht="17.5" customHeight="1" thickBot="1" x14ac:dyDescent="0.45">
      <c r="A23" s="26" t="s">
        <v>61</v>
      </c>
      <c r="B23" s="22" t="e">
        <f>B5/SUM(表格2[[Raw Material]:[Recycling]])</f>
        <v>#DIV/0!</v>
      </c>
      <c r="C23" s="22" t="e">
        <f>C5/SUM(表格2[[Raw Material]:[Recycling]])</f>
        <v>#DIV/0!</v>
      </c>
      <c r="D23" s="22" t="e">
        <f>D5/SUM(表格2[[Raw Material]:[Recycling]])</f>
        <v>#DIV/0!</v>
      </c>
      <c r="E23" s="22" t="e">
        <f>E5/SUM(表格2[[Raw Material]:[Recycling]])</f>
        <v>#DIV/0!</v>
      </c>
      <c r="F23" s="22" t="e">
        <f>F5/SUM(表格2[[Raw Material]:[Recycling]])</f>
        <v>#DIV/0!</v>
      </c>
      <c r="G23" s="29" t="e">
        <f>SUM(B23:F23)</f>
        <v>#DIV/0!</v>
      </c>
    </row>
    <row r="24" spans="1:7" x14ac:dyDescent="0.4">
      <c r="B24" s="22" t="e">
        <f>SUM(B20:B23)</f>
        <v>#DIV/0!</v>
      </c>
      <c r="C24" s="22" t="e">
        <f>SUM(C20:C23)</f>
        <v>#DIV/0!</v>
      </c>
      <c r="D24" s="22" t="e">
        <f>SUM(D20:D23)</f>
        <v>#DIV/0!</v>
      </c>
      <c r="E24" s="22" t="e">
        <f>SUM(E20:E23)</f>
        <v>#DIV/0!</v>
      </c>
      <c r="F24" s="22" t="e">
        <f>SUM(F20:F23)</f>
        <v>#DIV/0!</v>
      </c>
      <c r="G24" s="41" t="e">
        <f>SUM(B24:F24)</f>
        <v>#DIV/0!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16" sqref="A16"/>
    </sheetView>
  </sheetViews>
  <sheetFormatPr defaultRowHeight="17" x14ac:dyDescent="0.4"/>
  <cols>
    <col min="1" max="1" width="32.08984375" style="42" customWidth="1"/>
    <col min="2" max="2" width="26.08984375" style="42" customWidth="1"/>
    <col min="3" max="3" width="24.1796875" style="42" customWidth="1"/>
  </cols>
  <sheetData>
    <row r="1" spans="1:3" ht="18.5" customHeight="1" thickBot="1" x14ac:dyDescent="0.45">
      <c r="A1" s="13" t="s">
        <v>69</v>
      </c>
      <c r="B1" s="14" t="s">
        <v>70</v>
      </c>
      <c r="C1" s="15" t="s">
        <v>67</v>
      </c>
    </row>
    <row r="2" spans="1:3" ht="17.5" customHeight="1" thickBot="1" x14ac:dyDescent="0.45">
      <c r="A2" s="2"/>
      <c r="B2" s="1"/>
      <c r="C2" s="17"/>
    </row>
    <row r="3" spans="1:3" ht="17.5" customHeight="1" thickBot="1" x14ac:dyDescent="0.45">
      <c r="A3" s="2"/>
      <c r="B3" s="1"/>
      <c r="C3" s="17"/>
    </row>
    <row r="4" spans="1:3" ht="17.5" customHeight="1" thickBot="1" x14ac:dyDescent="0.45">
      <c r="A4" s="2"/>
      <c r="B4" s="1"/>
      <c r="C4" s="17"/>
    </row>
    <row r="5" spans="1:3" ht="17.5" customHeight="1" thickBot="1" x14ac:dyDescent="0.45">
      <c r="A5" s="2"/>
      <c r="B5" s="1"/>
      <c r="C5" s="17"/>
    </row>
    <row r="6" spans="1:3" ht="17.5" customHeight="1" thickBot="1" x14ac:dyDescent="0.45">
      <c r="A6" s="2"/>
      <c r="B6" s="1"/>
      <c r="C6" s="17"/>
    </row>
    <row r="7" spans="1:3" ht="17.5" customHeight="1" thickBot="1" x14ac:dyDescent="0.45">
      <c r="A7" s="2"/>
      <c r="B7" s="1"/>
      <c r="C7" s="17"/>
    </row>
    <row r="8" spans="1:3" ht="17.5" customHeight="1" thickBot="1" x14ac:dyDescent="0.45">
      <c r="A8" s="2"/>
      <c r="B8" s="1"/>
      <c r="C8" s="17"/>
    </row>
    <row r="9" spans="1:3" ht="17.5" customHeight="1" thickBot="1" x14ac:dyDescent="0.45">
      <c r="A9" s="2"/>
      <c r="B9" s="1"/>
      <c r="C9" s="17"/>
    </row>
    <row r="10" spans="1:3" ht="17.5" customHeight="1" thickBot="1" x14ac:dyDescent="0.45">
      <c r="A10" s="18"/>
      <c r="B10" s="1"/>
      <c r="C10" s="17"/>
    </row>
    <row r="11" spans="1:3" ht="17.5" customHeight="1" thickBot="1" x14ac:dyDescent="0.45">
      <c r="A11" s="16"/>
      <c r="B11" s="12"/>
      <c r="C11" s="17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A2" sqref="A2:C11"/>
    </sheetView>
  </sheetViews>
  <sheetFormatPr defaultRowHeight="17" x14ac:dyDescent="0.4"/>
  <cols>
    <col min="1" max="1" width="32.08984375" style="42" customWidth="1"/>
    <col min="2" max="2" width="26.08984375" style="42" customWidth="1"/>
    <col min="3" max="3" width="24.1796875" style="42" customWidth="1"/>
  </cols>
  <sheetData>
    <row r="1" spans="1:3" ht="18.5" customHeight="1" thickBot="1" x14ac:dyDescent="0.45">
      <c r="A1" s="13" t="s">
        <v>69</v>
      </c>
      <c r="B1" s="14" t="s">
        <v>70</v>
      </c>
      <c r="C1" s="15" t="s">
        <v>67</v>
      </c>
    </row>
    <row r="2" spans="1:3" ht="17.5" customHeight="1" thickBot="1" x14ac:dyDescent="0.45">
      <c r="A2" s="18"/>
      <c r="B2" s="1"/>
      <c r="C2" s="17"/>
    </row>
    <row r="3" spans="1:3" ht="17.5" customHeight="1" thickBot="1" x14ac:dyDescent="0.45">
      <c r="A3" s="2"/>
      <c r="B3" s="1"/>
      <c r="C3" s="17"/>
    </row>
    <row r="4" spans="1:3" ht="17.5" customHeight="1" thickBot="1" x14ac:dyDescent="0.45">
      <c r="A4" s="2"/>
      <c r="B4" s="1"/>
      <c r="C4" s="17"/>
    </row>
    <row r="5" spans="1:3" ht="17.5" customHeight="1" thickBot="1" x14ac:dyDescent="0.45">
      <c r="A5" s="2"/>
      <c r="B5" s="1"/>
      <c r="C5" s="17"/>
    </row>
    <row r="6" spans="1:3" ht="17.5" customHeight="1" thickBot="1" x14ac:dyDescent="0.45">
      <c r="A6" s="2"/>
      <c r="B6" s="1"/>
      <c r="C6" s="17"/>
    </row>
    <row r="7" spans="1:3" ht="17.5" customHeight="1" thickBot="1" x14ac:dyDescent="0.45">
      <c r="A7" s="2"/>
      <c r="B7" s="1"/>
      <c r="C7" s="17"/>
    </row>
    <row r="8" spans="1:3" ht="17.5" customHeight="1" thickBot="1" x14ac:dyDescent="0.45">
      <c r="A8" s="2"/>
      <c r="B8" s="1"/>
      <c r="C8" s="17"/>
    </row>
    <row r="9" spans="1:3" ht="17.5" customHeight="1" thickBot="1" x14ac:dyDescent="0.45">
      <c r="A9" s="2"/>
      <c r="B9" s="1"/>
      <c r="C9" s="17"/>
    </row>
    <row r="10" spans="1:3" ht="17.5" customHeight="1" thickBot="1" x14ac:dyDescent="0.45">
      <c r="A10" s="2"/>
      <c r="B10" s="1"/>
      <c r="C10" s="17"/>
    </row>
    <row r="11" spans="1:3" ht="17.5" customHeight="1" thickBot="1" x14ac:dyDescent="0.45">
      <c r="A11" s="16"/>
      <c r="B11" s="12"/>
      <c r="C11" s="17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B20" sqref="B20"/>
    </sheetView>
  </sheetViews>
  <sheetFormatPr defaultRowHeight="17" x14ac:dyDescent="0.4"/>
  <cols>
    <col min="1" max="1" width="32.08984375" style="42" customWidth="1"/>
    <col min="2" max="2" width="26.08984375" style="42" customWidth="1"/>
    <col min="3" max="3" width="24.1796875" style="42" customWidth="1"/>
  </cols>
  <sheetData>
    <row r="1" spans="1:3" ht="18.5" customHeight="1" thickBot="1" x14ac:dyDescent="0.45">
      <c r="A1" s="13" t="s">
        <v>69</v>
      </c>
      <c r="B1" s="14" t="s">
        <v>70</v>
      </c>
      <c r="C1" s="15" t="s">
        <v>67</v>
      </c>
    </row>
    <row r="2" spans="1:3" ht="17.5" customHeight="1" thickBot="1" x14ac:dyDescent="0.45">
      <c r="A2" s="18"/>
      <c r="B2" s="1"/>
      <c r="C2" s="17"/>
    </row>
    <row r="3" spans="1:3" ht="17.5" customHeight="1" thickBot="1" x14ac:dyDescent="0.45">
      <c r="A3" s="2"/>
      <c r="B3" s="1"/>
      <c r="C3" s="17"/>
    </row>
    <row r="4" spans="1:3" ht="17.5" customHeight="1" thickBot="1" x14ac:dyDescent="0.45">
      <c r="A4" s="2"/>
      <c r="B4" s="1"/>
      <c r="C4" s="17"/>
    </row>
    <row r="5" spans="1:3" ht="17.5" customHeight="1" thickBot="1" x14ac:dyDescent="0.45">
      <c r="A5" s="2"/>
      <c r="B5" s="1"/>
      <c r="C5" s="17"/>
    </row>
    <row r="6" spans="1:3" ht="17.5" customHeight="1" thickBot="1" x14ac:dyDescent="0.45">
      <c r="A6" s="2"/>
      <c r="B6" s="1"/>
      <c r="C6" s="17"/>
    </row>
    <row r="7" spans="1:3" ht="17.5" customHeight="1" thickBot="1" x14ac:dyDescent="0.45">
      <c r="A7" s="2"/>
      <c r="B7" s="1"/>
      <c r="C7" s="17"/>
    </row>
    <row r="8" spans="1:3" ht="17.5" customHeight="1" thickBot="1" x14ac:dyDescent="0.45">
      <c r="A8" s="2"/>
      <c r="B8" s="1"/>
      <c r="C8" s="17"/>
    </row>
    <row r="9" spans="1:3" ht="17.5" customHeight="1" thickBot="1" x14ac:dyDescent="0.45">
      <c r="A9" s="2"/>
      <c r="B9" s="1"/>
      <c r="C9" s="17"/>
    </row>
    <row r="10" spans="1:3" ht="17.5" customHeight="1" thickBot="1" x14ac:dyDescent="0.45">
      <c r="A10" s="2"/>
      <c r="B10" s="1"/>
      <c r="C10" s="17"/>
    </row>
    <row r="11" spans="1:3" ht="17.5" customHeight="1" thickBot="1" x14ac:dyDescent="0.45">
      <c r="A11" s="16"/>
      <c r="B11" s="12"/>
      <c r="C11" s="17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C20" sqref="C20"/>
    </sheetView>
  </sheetViews>
  <sheetFormatPr defaultRowHeight="17" x14ac:dyDescent="0.4"/>
  <cols>
    <col min="1" max="1" width="32.08984375" style="42" customWidth="1"/>
    <col min="2" max="2" width="26.08984375" style="42" customWidth="1"/>
    <col min="3" max="3" width="24.1796875" style="42" customWidth="1"/>
  </cols>
  <sheetData>
    <row r="1" spans="1:3" ht="18.5" customHeight="1" thickBot="1" x14ac:dyDescent="0.45">
      <c r="A1" s="13" t="s">
        <v>69</v>
      </c>
      <c r="B1" s="14" t="s">
        <v>70</v>
      </c>
      <c r="C1" s="15" t="s">
        <v>67</v>
      </c>
    </row>
    <row r="2" spans="1:3" ht="17.5" customHeight="1" thickBot="1" x14ac:dyDescent="0.45">
      <c r="A2" s="18"/>
      <c r="B2" s="1"/>
      <c r="C2" s="17"/>
    </row>
    <row r="3" spans="1:3" ht="17.5" customHeight="1" thickBot="1" x14ac:dyDescent="0.45">
      <c r="A3" s="2"/>
      <c r="B3" s="1"/>
      <c r="C3" s="17"/>
    </row>
    <row r="4" spans="1:3" ht="17.5" customHeight="1" thickBot="1" x14ac:dyDescent="0.45">
      <c r="A4" s="2"/>
      <c r="B4" s="1"/>
      <c r="C4" s="17"/>
    </row>
    <row r="5" spans="1:3" ht="17.5" customHeight="1" thickBot="1" x14ac:dyDescent="0.45">
      <c r="A5" s="2"/>
      <c r="B5" s="1"/>
      <c r="C5" s="17"/>
    </row>
    <row r="6" spans="1:3" ht="17.5" customHeight="1" thickBot="1" x14ac:dyDescent="0.45">
      <c r="A6" s="2"/>
      <c r="B6" s="1"/>
      <c r="C6" s="17"/>
    </row>
    <row r="7" spans="1:3" ht="17.5" customHeight="1" thickBot="1" x14ac:dyDescent="0.45">
      <c r="A7" s="2"/>
      <c r="B7" s="1"/>
      <c r="C7" s="17"/>
    </row>
    <row r="8" spans="1:3" ht="17.5" customHeight="1" thickBot="1" x14ac:dyDescent="0.45">
      <c r="A8" s="2"/>
      <c r="B8" s="1"/>
      <c r="C8" s="17"/>
    </row>
    <row r="9" spans="1:3" ht="17.5" customHeight="1" thickBot="1" x14ac:dyDescent="0.45">
      <c r="A9" s="2"/>
      <c r="B9" s="1"/>
      <c r="C9" s="17"/>
    </row>
    <row r="10" spans="1:3" ht="17.5" customHeight="1" thickBot="1" x14ac:dyDescent="0.45">
      <c r="A10" s="2"/>
      <c r="B10" s="1"/>
      <c r="C10" s="17"/>
    </row>
    <row r="11" spans="1:3" ht="17.5" customHeight="1" thickBot="1" x14ac:dyDescent="0.45">
      <c r="A11" s="16"/>
      <c r="B11" s="12"/>
      <c r="C11" s="17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A2" sqref="A2:C11"/>
    </sheetView>
  </sheetViews>
  <sheetFormatPr defaultRowHeight="17" x14ac:dyDescent="0.4"/>
  <cols>
    <col min="1" max="1" width="32.08984375" style="42" customWidth="1"/>
    <col min="2" max="2" width="26.08984375" style="42" customWidth="1"/>
    <col min="3" max="3" width="24.1796875" style="42" customWidth="1"/>
  </cols>
  <sheetData>
    <row r="1" spans="1:3" ht="18.5" customHeight="1" thickBot="1" x14ac:dyDescent="0.45">
      <c r="A1" s="13" t="s">
        <v>69</v>
      </c>
      <c r="B1" s="14" t="s">
        <v>70</v>
      </c>
      <c r="C1" s="15" t="s">
        <v>67</v>
      </c>
    </row>
    <row r="2" spans="1:3" ht="17.5" customHeight="1" thickBot="1" x14ac:dyDescent="0.45">
      <c r="A2" s="18"/>
      <c r="B2" s="1"/>
      <c r="C2" s="17"/>
    </row>
    <row r="3" spans="1:3" ht="17.5" customHeight="1" thickBot="1" x14ac:dyDescent="0.45">
      <c r="A3" s="2"/>
      <c r="B3" s="1"/>
      <c r="C3" s="17"/>
    </row>
    <row r="4" spans="1:3" ht="17.5" customHeight="1" thickBot="1" x14ac:dyDescent="0.45">
      <c r="A4" s="2"/>
      <c r="B4" s="1"/>
      <c r="C4" s="17"/>
    </row>
    <row r="5" spans="1:3" ht="17.5" customHeight="1" thickBot="1" x14ac:dyDescent="0.45">
      <c r="A5" s="2"/>
      <c r="B5" s="1"/>
      <c r="C5" s="17"/>
    </row>
    <row r="6" spans="1:3" ht="17.5" customHeight="1" thickBot="1" x14ac:dyDescent="0.45">
      <c r="A6" s="2"/>
      <c r="B6" s="1"/>
      <c r="C6" s="17"/>
    </row>
    <row r="7" spans="1:3" ht="17.5" customHeight="1" thickBot="1" x14ac:dyDescent="0.45">
      <c r="A7" s="2"/>
      <c r="B7" s="1"/>
      <c r="C7" s="17"/>
    </row>
    <row r="8" spans="1:3" ht="17.5" customHeight="1" thickBot="1" x14ac:dyDescent="0.45">
      <c r="A8" s="2"/>
      <c r="B8" s="1"/>
      <c r="C8" s="17"/>
    </row>
    <row r="9" spans="1:3" ht="17.5" customHeight="1" thickBot="1" x14ac:dyDescent="0.45">
      <c r="A9" s="2"/>
      <c r="B9" s="1"/>
      <c r="C9" s="17"/>
    </row>
    <row r="10" spans="1:3" ht="17.5" customHeight="1" thickBot="1" x14ac:dyDescent="0.45">
      <c r="A10" s="2"/>
      <c r="B10" s="1"/>
      <c r="C10" s="17"/>
    </row>
    <row r="11" spans="1:3" ht="17.5" customHeight="1" thickBot="1" x14ac:dyDescent="0.45">
      <c r="A11" s="16"/>
      <c r="B11" s="12"/>
      <c r="C11" s="17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general</vt:lpstr>
      <vt:lpstr>Raw Material</vt:lpstr>
      <vt:lpstr>Manufacturing</vt:lpstr>
      <vt:lpstr>Distribution</vt:lpstr>
      <vt:lpstr>Usage</vt:lpstr>
      <vt:lpstr>Recycling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886963089695</dc:creator>
  <cp:lastModifiedBy>vicky_tseng 曾筱淇</cp:lastModifiedBy>
  <dcterms:created xsi:type="dcterms:W3CDTF">2023-08-25T06:24:50Z</dcterms:created>
  <dcterms:modified xsi:type="dcterms:W3CDTF">2026-06-26T08:38:52Z</dcterms:modified>
</cp:coreProperties>
</file>